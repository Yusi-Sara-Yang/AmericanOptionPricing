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junyang/Google Drive/courses/6251-Numerical &amp; Simulation Techniques/Project 1/"/>
    </mc:Choice>
  </mc:AlternateContent>
  <bookViews>
    <workbookView xWindow="1740" yWindow="480" windowWidth="23860" windowHeight="14440"/>
  </bookViews>
  <sheets>
    <sheet name="Sheet1" sheetId="1" r:id="rId1"/>
    <sheet name="Sheet2" sheetId="2" r:id="rId2"/>
    <sheet name="Sheet3" sheetId="3" r:id="rId3"/>
  </sheets>
  <definedNames>
    <definedName name="euvol">Sheet1!$D$7</definedName>
    <definedName name="MaxUPrice">Sheet1!$D$4</definedName>
    <definedName name="MinUPrice">Sheet1!$D$3</definedName>
    <definedName name="NPriceSteps">Sheet1!$D$2</definedName>
    <definedName name="NTimeSteps">Sheet1!$D$1</definedName>
    <definedName name="OptPrice">Sheet1!$B$1</definedName>
    <definedName name="Price">Sheet1!$B$2</definedName>
    <definedName name="RFRate">Sheet1!$B$5</definedName>
    <definedName name="Strike">Sheet1!$B$3</definedName>
    <definedName name="TMat">Sheet1!$B$4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D3" i="1" l="1"/>
  <c r="D4" i="1"/>
  <c r="B7" i="1"/>
  <c r="D7" i="1"/>
</calcChain>
</file>

<file path=xl/sharedStrings.xml><?xml version="1.0" encoding="utf-8"?>
<sst xmlns="http://schemas.openxmlformats.org/spreadsheetml/2006/main" count="11" uniqueCount="11">
  <si>
    <t>Strike</t>
  </si>
  <si>
    <t>Maturity</t>
  </si>
  <si>
    <t>Riskless Rate</t>
  </si>
  <si>
    <t>Curr. Underlying Price</t>
  </si>
  <si>
    <t>Curr. Option Price</t>
  </si>
  <si>
    <t>Implied Volatility</t>
  </si>
  <si>
    <t>NTimeSteps</t>
  </si>
  <si>
    <t>NPriceSteps</t>
  </si>
  <si>
    <t>Min Underlying Price</t>
  </si>
  <si>
    <t>Max Underlying Price</t>
  </si>
  <si>
    <t>Implied Vol_European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</si>
</sst>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5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1" xfId="0" applyNumberFormat="1" applyFill="1" applyBorder="1"/>
    <xf numFmtId="2" fontId="0" fillId="3" borderId="2" xfId="0" applyNumberFormat="1" applyFill="1" applyBorder="1"/>
    <xf numFmtId="10" fontId="0" fillId="3" borderId="3" xfId="1" applyNumberFormat="1" applyFont="1" applyFill="1" applyBorder="1"/>
    <xf numFmtId="0" fontId="3" fillId="4" borderId="4" xfId="0" applyFont="1" applyFill="1" applyBorder="1"/>
    <xf numFmtId="0" fontId="0" fillId="3" borderId="5" xfId="0" applyFill="1" applyBorder="1"/>
    <xf numFmtId="0" fontId="2" fillId="2" borderId="5" xfId="0" applyFont="1" applyFill="1" applyBorder="1"/>
    <xf numFmtId="14" fontId="0" fillId="0" borderId="0" xfId="0" applyNumberFormat="1"/>
    <xf numFmtId="2" fontId="0" fillId="0" borderId="0" xfId="0" applyNumberFormat="1"/>
    <xf numFmtId="164" fontId="1" fillId="5" borderId="4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4"/>
  <sheetViews>
    <sheetView tabSelected="1" zoomScale="200" workbookViewId="0">
      <selection activeCell="C10" sqref="C10"/>
    </sheetView>
  </sheetViews>
  <sheetFormatPr baseColWidth="10" defaultColWidth="8.83203125" defaultRowHeight="13" x14ac:dyDescent="0.15"/>
  <cols>
    <col min="1" max="1" width="21.5" style="1" customWidth="1"/>
    <col min="3" max="3" width="20.6640625" customWidth="1"/>
    <col min="4" max="4" width="12" customWidth="1"/>
  </cols>
  <sheetData>
    <row r="1" spans="1:4" x14ac:dyDescent="0.15">
      <c r="A1" s="2" t="s">
        <v>4</v>
      </c>
      <c r="B1" s="5">
        <v>6</v>
      </c>
      <c r="C1" s="10" t="s">
        <v>6</v>
      </c>
      <c r="D1" s="9">
        <v>400</v>
      </c>
    </row>
    <row r="2" spans="1:4" x14ac:dyDescent="0.15">
      <c r="A2" s="3" t="s">
        <v>3</v>
      </c>
      <c r="B2" s="6">
        <v>50</v>
      </c>
      <c r="C2" s="10" t="s">
        <v>7</v>
      </c>
      <c r="D2" s="9">
        <v>400</v>
      </c>
    </row>
    <row r="3" spans="1:4" x14ac:dyDescent="0.15">
      <c r="A3" s="3" t="s">
        <v>0</v>
      </c>
      <c r="B3" s="6">
        <v>50</v>
      </c>
      <c r="C3" s="10" t="s">
        <v>8</v>
      </c>
      <c r="D3" s="9">
        <f>Price*EXP(-4*euvol*SQRT(TMat))</f>
        <v>13.011206200802885</v>
      </c>
    </row>
    <row r="4" spans="1:4" x14ac:dyDescent="0.15">
      <c r="A4" s="3" t="s">
        <v>1</v>
      </c>
      <c r="B4" s="6">
        <v>0.25</v>
      </c>
      <c r="C4" s="10" t="s">
        <v>9</v>
      </c>
      <c r="D4" s="9">
        <f>Price*EXP(4*euvol*SQRT(TMat))</f>
        <v>192.14206288158988</v>
      </c>
    </row>
    <row r="5" spans="1:4" ht="14" thickBot="1" x14ac:dyDescent="0.2">
      <c r="A5" s="4" t="s">
        <v>2</v>
      </c>
      <c r="B5" s="7">
        <v>0.1</v>
      </c>
    </row>
    <row r="6" spans="1:4" ht="14" thickBot="1" x14ac:dyDescent="0.2">
      <c r="C6" s="1"/>
      <c r="D6" s="11"/>
    </row>
    <row r="7" spans="1:4" ht="14" thickBot="1" x14ac:dyDescent="0.2">
      <c r="A7" s="8" t="s">
        <v>5</v>
      </c>
      <c r="B7" s="13">
        <f>impVol(OptPrice,Price,euvol,TMat,Strike,RFRate,NPriceSteps,NTimeSteps,MaxUPrice,MinUPrice)</f>
        <v>0.6615574353685425</v>
      </c>
      <c r="C7" s="8" t="s">
        <v>10</v>
      </c>
      <c r="D7" s="13">
        <f>impPutVol(OptPrice,Price,TMat,Strike,RFRate)</f>
        <v>0.67310600192108683</v>
      </c>
    </row>
    <row r="10" spans="1:4" x14ac:dyDescent="0.15">
      <c r="B10" s="11"/>
    </row>
    <row r="11" spans="1:4" x14ac:dyDescent="0.15">
      <c r="B11" s="12"/>
    </row>
    <row r="12" spans="1:4" x14ac:dyDescent="0.15">
      <c r="B12" s="12"/>
    </row>
    <row r="13" spans="1:4" x14ac:dyDescent="0.15">
      <c r="B13" s="12"/>
    </row>
    <row r="14" spans="1:4" x14ac:dyDescent="0.15">
      <c r="B14" s="12"/>
    </row>
  </sheetData>
  <phoneticPr fontId="0" type="noConversion"/>
  <pageMargins left="0.75" right="0.75" top="1" bottom="1" header="0.5" footer="0.5"/>
  <pageSetup orientation="portrait" horizontalDpi="4294967293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3" x14ac:dyDescent="0.15"/>
  <sheetData/>
  <phoneticPr fontId="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3" x14ac:dyDescent="0.15"/>
  <sheetData/>
  <phoneticPr fontId="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Aloha Enterprises,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Weinberger</dc:creator>
  <cp:lastModifiedBy>Microsoft Office User</cp:lastModifiedBy>
  <dcterms:created xsi:type="dcterms:W3CDTF">2008-03-01T00:30:09Z</dcterms:created>
  <dcterms:modified xsi:type="dcterms:W3CDTF">2017-10-30T01:25:24Z</dcterms:modified>
</cp:coreProperties>
</file>